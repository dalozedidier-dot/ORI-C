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ruo/Dropbox/Hairuo_projects/LMO/Manuscript/073023_Final revision/Tables/For Zenodo/"/>
    </mc:Choice>
  </mc:AlternateContent>
  <xr:revisionPtr revIDLastSave="0" documentId="13_ncr:1_{F1EDEB73-B83C-104A-8F4C-826FB5052DF3}" xr6:coauthVersionLast="47" xr6:coauthVersionMax="47" xr10:uidLastSave="{00000000-0000-0000-0000-000000000000}"/>
  <bookViews>
    <workbookView xWindow="6420" yWindow="500" windowWidth="25480" windowHeight="26800" xr2:uid="{00000000-000D-0000-FFFF-FFFF00000000}"/>
  </bookViews>
  <sheets>
    <sheet name="Ca isotop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H7" i="1"/>
  <c r="H6" i="1"/>
</calcChain>
</file>

<file path=xl/sharedStrings.xml><?xml version="1.0" encoding="utf-8"?>
<sst xmlns="http://schemas.openxmlformats.org/spreadsheetml/2006/main" count="35" uniqueCount="31">
  <si>
    <t>Sample</t>
  </si>
  <si>
    <r>
      <rPr>
        <i/>
        <sz val="13"/>
        <color theme="1"/>
        <rFont val="Calibri"/>
        <family val="2"/>
        <scheme val="minor"/>
      </rPr>
      <t>Notes</t>
    </r>
    <r>
      <rPr>
        <sz val="13"/>
        <color theme="1"/>
        <rFont val="Calibri"/>
        <family val="2"/>
        <scheme val="minor"/>
      </rPr>
      <t xml:space="preserve">: </t>
    </r>
  </si>
  <si>
    <t>± 2SE</t>
  </si>
  <si>
    <t>Low-Ti basalt</t>
  </si>
  <si>
    <t>High-Ti basalt</t>
  </si>
  <si>
    <t>Lunar rocks</t>
  </si>
  <si>
    <t>Lunar minerals</t>
  </si>
  <si>
    <t>15555, 19</t>
  </si>
  <si>
    <t>Highland rock</t>
  </si>
  <si>
    <t>60025, 901 (ferroan anorthosite)</t>
  </si>
  <si>
    <t>62236, 64 (ferroan anorthosite)</t>
  </si>
  <si>
    <t>60015, 761 (cataclastic anorthosite)</t>
  </si>
  <si>
    <t>12002, 122 (olivine basalt)</t>
  </si>
  <si>
    <t>10017, 282  (ilmenite basalt)</t>
  </si>
  <si>
    <t>10044, 652  (ilmenite basalt)</t>
  </si>
  <si>
    <t>70035, 200  (ilmenite basalt)</t>
  </si>
  <si>
    <t>71569, 69  (ilmenite basalt)</t>
  </si>
  <si>
    <t>74275, 344  (ilmenite basalt)</t>
  </si>
  <si>
    <t>Olivine (low-Ti basalt 12021)</t>
  </si>
  <si>
    <t>Plagioclase (troctolite 76535)</t>
  </si>
  <si>
    <r>
      <t xml:space="preserve"> δ</t>
    </r>
    <r>
      <rPr>
        <b/>
        <vertAlign val="superscript"/>
        <sz val="13"/>
        <color theme="1"/>
        <rFont val="Calibri"/>
        <family val="2"/>
      </rPr>
      <t>44/40</t>
    </r>
    <r>
      <rPr>
        <b/>
        <sz val="13"/>
        <color theme="1"/>
        <rFont val="Calibri"/>
        <family val="2"/>
      </rPr>
      <t>Ca measured</t>
    </r>
  </si>
  <si>
    <r>
      <t xml:space="preserve"> δ</t>
    </r>
    <r>
      <rPr>
        <b/>
        <vertAlign val="superscript"/>
        <sz val="13"/>
        <color theme="1"/>
        <rFont val="Calibri"/>
        <family val="2"/>
      </rPr>
      <t>44/42</t>
    </r>
    <r>
      <rPr>
        <b/>
        <sz val="13"/>
        <color theme="1"/>
        <rFont val="Calibri"/>
        <family val="2"/>
      </rPr>
      <t>Ca measured</t>
    </r>
  </si>
  <si>
    <r>
      <t>δ</t>
    </r>
    <r>
      <rPr>
        <vertAlign val="superscript"/>
        <sz val="13"/>
        <color theme="1"/>
        <rFont val="Calibri"/>
        <family val="2"/>
        <scheme val="minor"/>
      </rPr>
      <t>44/40</t>
    </r>
    <r>
      <rPr>
        <sz val="13"/>
        <color theme="1"/>
        <rFont val="Calibri"/>
        <family val="2"/>
        <scheme val="minor"/>
      </rPr>
      <t>Ca</t>
    </r>
  </si>
  <si>
    <r>
      <t>δ</t>
    </r>
    <r>
      <rPr>
        <vertAlign val="superscript"/>
        <sz val="13"/>
        <color theme="1"/>
        <rFont val="Calibri"/>
        <family val="2"/>
        <scheme val="minor"/>
      </rPr>
      <t>44/42</t>
    </r>
    <r>
      <rPr>
        <sz val="13"/>
        <color theme="1"/>
        <rFont val="Calibri"/>
        <family val="2"/>
        <scheme val="minor"/>
      </rPr>
      <t>Ca</t>
    </r>
  </si>
  <si>
    <r>
      <t>(a)</t>
    </r>
    <r>
      <rPr>
        <sz val="13"/>
        <color theme="1"/>
        <rFont val="Calibri (Body)"/>
      </rPr>
      <t xml:space="preserve">2SE: two standard errors. </t>
    </r>
  </si>
  <si>
    <t>Ca isotope compositions of analyzed lunar rocks and minerals.</t>
  </si>
  <si>
    <r>
      <t>(c)</t>
    </r>
    <r>
      <rPr>
        <sz val="13"/>
        <color theme="1"/>
        <rFont val="Calibri (Body)"/>
      </rPr>
      <t>weighted mean of the measured δ</t>
    </r>
    <r>
      <rPr>
        <vertAlign val="superscript"/>
        <sz val="13"/>
        <color theme="1"/>
        <rFont val="Calibri (Body)"/>
      </rPr>
      <t>44/40</t>
    </r>
    <r>
      <rPr>
        <sz val="13"/>
        <color theme="1"/>
        <rFont val="Calibri (Body)"/>
      </rPr>
      <t>Ca and calculated δ</t>
    </r>
    <r>
      <rPr>
        <vertAlign val="superscript"/>
        <sz val="13"/>
        <color theme="1"/>
        <rFont val="Calibri (Body)"/>
      </rPr>
      <t>44/40</t>
    </r>
    <r>
      <rPr>
        <sz val="13"/>
        <color theme="1"/>
        <rFont val="Calibri (Body)"/>
      </rPr>
      <t>Ca (by δ</t>
    </r>
    <r>
      <rPr>
        <vertAlign val="superscript"/>
        <sz val="13"/>
        <color theme="1"/>
        <rFont val="Calibri (Body)"/>
      </rPr>
      <t>44/42</t>
    </r>
    <r>
      <rPr>
        <sz val="13"/>
        <color theme="1"/>
        <rFont val="Calibri (Body)"/>
      </rPr>
      <t>Ca); the weight of each is given by 2SE</t>
    </r>
    <r>
      <rPr>
        <vertAlign val="superscript"/>
        <sz val="13"/>
        <color theme="1"/>
        <rFont val="Calibri (Body)"/>
      </rPr>
      <t>-2</t>
    </r>
    <r>
      <rPr>
        <sz val="13"/>
        <color theme="1"/>
        <rFont val="Calibri (Body)"/>
      </rPr>
      <t>.</t>
    </r>
  </si>
  <si>
    <r>
      <t>± 2SE</t>
    </r>
    <r>
      <rPr>
        <vertAlign val="superscript"/>
        <sz val="13"/>
        <color theme="1"/>
        <rFont val="Calibri (Body)"/>
      </rPr>
      <t>(a)</t>
    </r>
  </si>
  <si>
    <r>
      <t xml:space="preserve"> δ</t>
    </r>
    <r>
      <rPr>
        <b/>
        <vertAlign val="superscript"/>
        <sz val="13"/>
        <color theme="1"/>
        <rFont val="Calibri"/>
        <family val="2"/>
      </rPr>
      <t>44/40</t>
    </r>
    <r>
      <rPr>
        <b/>
        <sz val="13"/>
        <color theme="1"/>
        <rFont val="Calibri"/>
        <family val="2"/>
      </rPr>
      <t>Ca calculated by  δ</t>
    </r>
    <r>
      <rPr>
        <b/>
        <vertAlign val="superscript"/>
        <sz val="13"/>
        <color theme="1"/>
        <rFont val="Calibri"/>
        <family val="2"/>
      </rPr>
      <t>44/42</t>
    </r>
    <r>
      <rPr>
        <b/>
        <sz val="13"/>
        <color theme="1"/>
        <rFont val="Calibri"/>
        <family val="2"/>
      </rPr>
      <t>Ca</t>
    </r>
    <r>
      <rPr>
        <b/>
        <vertAlign val="superscript"/>
        <sz val="13"/>
        <color theme="1"/>
        <rFont val="Calibri"/>
        <family val="2"/>
      </rPr>
      <t>(b)</t>
    </r>
  </si>
  <si>
    <r>
      <t>Weighted mean δ</t>
    </r>
    <r>
      <rPr>
        <b/>
        <vertAlign val="superscript"/>
        <sz val="13"/>
        <color theme="1"/>
        <rFont val="Calibri (Body)"/>
      </rPr>
      <t>44/40</t>
    </r>
    <r>
      <rPr>
        <b/>
        <sz val="13"/>
        <color theme="1"/>
        <rFont val="Calibri"/>
        <family val="2"/>
        <scheme val="minor"/>
      </rPr>
      <t>Ca</t>
    </r>
    <r>
      <rPr>
        <b/>
        <vertAlign val="superscript"/>
        <sz val="13"/>
        <color theme="1"/>
        <rFont val="Calibri (Body)"/>
      </rPr>
      <t>(c)</t>
    </r>
  </si>
  <si>
    <r>
      <t>(b)</t>
    </r>
    <r>
      <rPr>
        <sz val="13"/>
        <color theme="1"/>
        <rFont val="Calibri (Body)"/>
      </rPr>
      <t>assuming a mass-dependent fractionation relationship, δ</t>
    </r>
    <r>
      <rPr>
        <vertAlign val="superscript"/>
        <sz val="13"/>
        <color theme="1"/>
        <rFont val="Calibri (Body)"/>
      </rPr>
      <t>44/40</t>
    </r>
    <r>
      <rPr>
        <sz val="13"/>
        <color theme="1"/>
        <rFont val="Calibri (Body)"/>
      </rPr>
      <t>Ca ≈ 2.0483 * δ</t>
    </r>
    <r>
      <rPr>
        <vertAlign val="superscript"/>
        <sz val="13"/>
        <color theme="1"/>
        <rFont val="Calibri (Body)"/>
      </rPr>
      <t>44/42</t>
    </r>
    <r>
      <rPr>
        <sz val="13"/>
        <color theme="1"/>
        <rFont val="Calibri (Body)"/>
      </rPr>
      <t xml:space="preserve">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</si>
</sst>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3"/>
      <color theme="1"/>
      <name val="Gulliver"/>
    </font>
    <font>
      <sz val="12"/>
      <color rgb="FF000000"/>
      <name val="Times New Roman"/>
      <family val="1"/>
    </font>
    <font>
      <sz val="13"/>
      <color theme="1"/>
      <name val="Calibri"/>
      <family val="2"/>
    </font>
    <font>
      <vertAlign val="superscript"/>
      <sz val="13"/>
      <color theme="1"/>
      <name val="Calibri"/>
      <family val="2"/>
      <scheme val="minor"/>
    </font>
    <font>
      <vertAlign val="superscript"/>
      <sz val="13"/>
      <color theme="1"/>
      <name val="Calibri (Body)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 (Body)"/>
    </font>
    <font>
      <b/>
      <vertAlign val="superscript"/>
      <sz val="13"/>
      <color theme="1"/>
      <name val="Calibri"/>
      <family val="2"/>
    </font>
    <font>
      <b/>
      <sz val="13"/>
      <color theme="1"/>
      <name val="Calibri"/>
      <family val="2"/>
    </font>
    <font>
      <b/>
      <vertAlign val="superscript"/>
      <sz val="13"/>
      <color theme="1"/>
      <name val="Calibri (Body)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/>
    </xf>
    <xf numFmtId="0" fontId="23" fillId="0" borderId="0" xfId="0" applyFont="1"/>
    <xf numFmtId="0" fontId="22" fillId="0" borderId="0" xfId="0" applyFont="1"/>
    <xf numFmtId="49" fontId="22" fillId="0" borderId="0" xfId="0" applyNumberFormat="1" applyFont="1" applyAlignment="1">
      <alignment horizontal="center"/>
    </xf>
    <xf numFmtId="49" fontId="22" fillId="0" borderId="0" xfId="0" applyNumberFormat="1" applyFont="1"/>
    <xf numFmtId="0" fontId="21" fillId="0" borderId="0" xfId="0" applyFont="1"/>
    <xf numFmtId="0" fontId="24" fillId="0" borderId="0" xfId="0" applyFont="1"/>
    <xf numFmtId="165" fontId="22" fillId="0" borderId="0" xfId="0" applyNumberFormat="1" applyFont="1" applyAlignment="1">
      <alignment horizontal="center"/>
    </xf>
    <xf numFmtId="0" fontId="25" fillId="0" borderId="0" xfId="0" applyFont="1"/>
    <xf numFmtId="165" fontId="20" fillId="0" borderId="0" xfId="0" applyNumberFormat="1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2" fillId="0" borderId="14" xfId="0" applyFont="1" applyBorder="1" applyAlignment="1">
      <alignment horizontal="center"/>
    </xf>
    <xf numFmtId="0" fontId="22" fillId="33" borderId="0" xfId="0" applyFont="1" applyFill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23" fillId="33" borderId="0" xfId="0" applyFont="1" applyFill="1"/>
    <xf numFmtId="0" fontId="22" fillId="33" borderId="17" xfId="0" applyFont="1" applyFill="1" applyBorder="1" applyAlignment="1">
      <alignment horizontal="center"/>
    </xf>
    <xf numFmtId="0" fontId="23" fillId="33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5" fontId="26" fillId="0" borderId="0" xfId="0" applyNumberFormat="1" applyFont="1" applyAlignment="1">
      <alignment horizontal="center" vertical="center"/>
    </xf>
    <xf numFmtId="165" fontId="26" fillId="0" borderId="11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165" fontId="26" fillId="33" borderId="0" xfId="0" applyNumberFormat="1" applyFont="1" applyFill="1" applyAlignment="1">
      <alignment horizontal="center" vertical="center"/>
    </xf>
    <xf numFmtId="165" fontId="26" fillId="33" borderId="17" xfId="0" applyNumberFormat="1" applyFont="1" applyFill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0" fontId="28" fillId="0" borderId="0" xfId="0" applyFont="1"/>
    <xf numFmtId="165" fontId="0" fillId="0" borderId="0" xfId="0" applyNumberFormat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1" xfId="0" applyFont="1" applyBorder="1"/>
    <xf numFmtId="0" fontId="33" fillId="0" borderId="12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35" fillId="0" borderId="11" xfId="0" applyFont="1" applyBorder="1"/>
    <xf numFmtId="0" fontId="36" fillId="0" borderId="11" xfId="0" applyFont="1" applyBorder="1"/>
    <xf numFmtId="0" fontId="36" fillId="0" borderId="11" xfId="0" applyFont="1" applyBorder="1" applyAlignment="1">
      <alignment horizontal="center"/>
    </xf>
    <xf numFmtId="0" fontId="37" fillId="0" borderId="0" xfId="0" applyFont="1"/>
    <xf numFmtId="0" fontId="3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zoomScaleNormal="100" workbookViewId="0">
      <selection activeCell="H16" sqref="H16"/>
    </sheetView>
  </sheetViews>
  <sheetFormatPr baseColWidth="10" defaultRowHeight="16"/>
  <cols>
    <col min="1" max="1" width="32.83203125" customWidth="1"/>
    <col min="2" max="2" width="10.83203125" customWidth="1"/>
    <col min="3" max="3" width="10.83203125" style="1" customWidth="1"/>
    <col min="4" max="4" width="2.83203125" customWidth="1"/>
    <col min="5" max="6" width="10.83203125" style="1" customWidth="1"/>
    <col min="7" max="7" width="1.83203125" customWidth="1"/>
    <col min="8" max="9" width="15.83203125" customWidth="1"/>
    <col min="10" max="10" width="13.83203125" style="1" customWidth="1"/>
    <col min="11" max="11" width="13.83203125" customWidth="1"/>
    <col min="13" max="14" width="18.83203125" customWidth="1"/>
    <col min="15" max="17" width="24.5" customWidth="1"/>
    <col min="18" max="18" width="22.5" customWidth="1"/>
    <col min="19" max="19" width="15.5" customWidth="1"/>
    <col min="20" max="20" width="18" customWidth="1"/>
    <col min="22" max="22" width="14.83203125" customWidth="1"/>
    <col min="23" max="23" width="17.6640625" customWidth="1"/>
    <col min="40" max="40" width="14.6640625" customWidth="1"/>
  </cols>
  <sheetData>
    <row r="1" spans="1:15" s="47" customFormat="1" ht="18" customHeight="1" thickBot="1">
      <c r="A1" s="43" t="s">
        <v>25</v>
      </c>
      <c r="B1" s="44"/>
      <c r="C1" s="45"/>
      <c r="D1" s="44"/>
      <c r="E1" s="45"/>
      <c r="F1" s="45"/>
      <c r="G1" s="44"/>
      <c r="H1" s="44"/>
      <c r="I1" s="44"/>
      <c r="J1" s="45"/>
      <c r="K1" s="44"/>
      <c r="L1" s="46"/>
      <c r="M1" s="46"/>
    </row>
    <row r="2" spans="1:15" s="8" customFormat="1" ht="21" thickTop="1">
      <c r="A2" s="26" t="s">
        <v>0</v>
      </c>
      <c r="B2" s="39" t="s">
        <v>20</v>
      </c>
      <c r="C2" s="39"/>
      <c r="D2" s="16"/>
      <c r="E2" s="39" t="s">
        <v>21</v>
      </c>
      <c r="F2" s="39"/>
      <c r="G2" s="16"/>
      <c r="H2" s="40" t="s">
        <v>28</v>
      </c>
      <c r="I2" s="40"/>
      <c r="J2" s="41" t="s">
        <v>29</v>
      </c>
      <c r="K2" s="42"/>
      <c r="L2" s="4"/>
      <c r="M2" s="4"/>
    </row>
    <row r="3" spans="1:15" s="8" customFormat="1" ht="20">
      <c r="A3" s="6"/>
      <c r="B3" s="6" t="s">
        <v>22</v>
      </c>
      <c r="C3" s="6" t="s">
        <v>27</v>
      </c>
      <c r="D3" s="6"/>
      <c r="E3" s="6" t="s">
        <v>23</v>
      </c>
      <c r="F3" s="6" t="s">
        <v>2</v>
      </c>
      <c r="G3" s="6"/>
      <c r="H3" s="18" t="s">
        <v>22</v>
      </c>
      <c r="I3" s="18" t="s">
        <v>2</v>
      </c>
      <c r="J3" s="20" t="s">
        <v>22</v>
      </c>
      <c r="K3" s="18" t="s">
        <v>2</v>
      </c>
      <c r="L3" s="4"/>
      <c r="M3" s="4"/>
    </row>
    <row r="4" spans="1:15" s="8" customFormat="1" ht="19">
      <c r="A4" s="17" t="s">
        <v>5</v>
      </c>
      <c r="B4" s="5"/>
      <c r="C4" s="5"/>
      <c r="D4" s="5"/>
      <c r="E4" s="5"/>
      <c r="F4" s="5"/>
      <c r="G4" s="5"/>
      <c r="H4" s="5"/>
      <c r="I4" s="5"/>
      <c r="J4" s="21"/>
      <c r="K4" s="37"/>
      <c r="L4" s="4"/>
      <c r="M4" s="4"/>
    </row>
    <row r="5" spans="1:15" s="8" customFormat="1" ht="17" customHeight="1">
      <c r="A5" s="23" t="s">
        <v>3</v>
      </c>
      <c r="B5" s="19"/>
      <c r="C5" s="19"/>
      <c r="D5" s="19"/>
      <c r="E5" s="19"/>
      <c r="F5" s="19"/>
      <c r="G5" s="19"/>
      <c r="H5" s="19"/>
      <c r="I5" s="19"/>
      <c r="J5" s="24"/>
      <c r="K5" s="19"/>
      <c r="L5" s="4"/>
      <c r="M5" s="4"/>
    </row>
    <row r="6" spans="1:15" s="8" customFormat="1" ht="17" customHeight="1">
      <c r="A6" s="8" t="s">
        <v>12</v>
      </c>
      <c r="B6" s="29">
        <v>0.82200000000000006</v>
      </c>
      <c r="C6" s="29">
        <v>0.02</v>
      </c>
      <c r="D6" s="29"/>
      <c r="E6" s="29">
        <v>0.43200000000000005</v>
      </c>
      <c r="F6" s="29">
        <v>7.0000000000000007E-2</v>
      </c>
      <c r="G6" s="29"/>
      <c r="H6" s="29">
        <f>2.0483*E6</f>
        <v>0.88486560000000003</v>
      </c>
      <c r="I6" s="29">
        <f>2.0483*F6</f>
        <v>0.14338100000000001</v>
      </c>
      <c r="J6" s="31">
        <v>0.8231998333154561</v>
      </c>
      <c r="K6" s="29">
        <v>1.9808223651821062E-2</v>
      </c>
      <c r="L6" s="4"/>
      <c r="M6" s="15"/>
      <c r="O6" s="14"/>
    </row>
    <row r="7" spans="1:15" s="8" customFormat="1" ht="17" customHeight="1">
      <c r="A7" s="8" t="s">
        <v>7</v>
      </c>
      <c r="B7" s="29">
        <v>0.87199999999999989</v>
      </c>
      <c r="C7" s="29">
        <v>0.02</v>
      </c>
      <c r="D7" s="29"/>
      <c r="E7" s="29">
        <v>0.39200000000000002</v>
      </c>
      <c r="F7" s="29">
        <v>0.05</v>
      </c>
      <c r="G7" s="29"/>
      <c r="H7" s="29">
        <f t="shared" ref="H7" si="0">2.0483*E7</f>
        <v>0.80293359999999991</v>
      </c>
      <c r="I7" s="29">
        <f t="shared" ref="I7" si="1">2.0483*F7</f>
        <v>0.10241499999999999</v>
      </c>
      <c r="J7" s="31">
        <v>0.86946285373590626</v>
      </c>
      <c r="K7" s="29">
        <v>1.9629214094919641E-2</v>
      </c>
      <c r="L7" s="4"/>
      <c r="M7" s="15"/>
      <c r="O7" s="14"/>
    </row>
    <row r="8" spans="1:15" s="8" customFormat="1" ht="5" customHeight="1">
      <c r="B8" s="29"/>
      <c r="C8" s="29"/>
      <c r="D8" s="29"/>
      <c r="E8" s="29"/>
      <c r="F8" s="29"/>
      <c r="G8" s="29"/>
      <c r="H8" s="29"/>
      <c r="I8" s="29"/>
      <c r="J8" s="31"/>
      <c r="K8" s="29"/>
      <c r="L8" s="28"/>
      <c r="M8" s="15"/>
    </row>
    <row r="9" spans="1:15" s="8" customFormat="1" ht="17" customHeight="1">
      <c r="A9" s="25" t="s">
        <v>4</v>
      </c>
      <c r="B9" s="32"/>
      <c r="C9" s="32"/>
      <c r="D9" s="32"/>
      <c r="E9" s="32"/>
      <c r="F9" s="32"/>
      <c r="G9" s="32"/>
      <c r="H9" s="32"/>
      <c r="I9" s="32"/>
      <c r="J9" s="33"/>
      <c r="K9" s="32"/>
      <c r="L9" s="28"/>
      <c r="M9" s="15"/>
      <c r="N9" s="11"/>
    </row>
    <row r="10" spans="1:15" s="8" customFormat="1" ht="17" customHeight="1">
      <c r="A10" s="8" t="s">
        <v>13</v>
      </c>
      <c r="B10" s="29">
        <v>0.78200000000000003</v>
      </c>
      <c r="C10" s="29">
        <v>0.04</v>
      </c>
      <c r="D10" s="29"/>
      <c r="E10" s="29">
        <v>0.34199999999999997</v>
      </c>
      <c r="F10" s="29">
        <v>0.12</v>
      </c>
      <c r="G10" s="29"/>
      <c r="H10" s="29">
        <v>0.70051859999999988</v>
      </c>
      <c r="I10" s="29">
        <v>0.24579599999999996</v>
      </c>
      <c r="J10" s="31">
        <v>0.77989778563388268</v>
      </c>
      <c r="K10" s="29">
        <v>3.9480629592060015E-2</v>
      </c>
      <c r="L10" s="27"/>
      <c r="M10" s="15"/>
    </row>
    <row r="11" spans="1:15" s="8" customFormat="1" ht="17" customHeight="1">
      <c r="A11" s="8" t="s">
        <v>15</v>
      </c>
      <c r="B11" s="29">
        <v>0.83199999999999996</v>
      </c>
      <c r="C11" s="29">
        <v>0.05</v>
      </c>
      <c r="D11" s="29"/>
      <c r="E11" s="29">
        <v>0.32199999999999995</v>
      </c>
      <c r="F11" s="29">
        <v>0.1</v>
      </c>
      <c r="G11" s="29"/>
      <c r="H11" s="29">
        <v>0.65955259999999982</v>
      </c>
      <c r="I11" s="29">
        <v>0.20482999999999998</v>
      </c>
      <c r="J11" s="31">
        <v>0.82230220874150362</v>
      </c>
      <c r="K11" s="29">
        <v>4.8573752486971579E-2</v>
      </c>
      <c r="L11" s="27"/>
      <c r="M11" s="15"/>
    </row>
    <row r="12" spans="1:15" s="8" customFormat="1" ht="17" customHeight="1">
      <c r="A12" s="8" t="s">
        <v>16</v>
      </c>
      <c r="B12" s="29">
        <v>0.82199999999999995</v>
      </c>
      <c r="C12" s="29">
        <v>0.01</v>
      </c>
      <c r="D12" s="29"/>
      <c r="E12" s="29">
        <v>0.41200000000000003</v>
      </c>
      <c r="F12" s="29">
        <v>0.04</v>
      </c>
      <c r="G12" s="29"/>
      <c r="H12" s="29">
        <v>0.84389959999999997</v>
      </c>
      <c r="I12" s="29">
        <v>8.1931999999999991E-2</v>
      </c>
      <c r="J12" s="31">
        <v>0.82232144537991114</v>
      </c>
      <c r="K12" s="29">
        <v>9.9263379988660163E-3</v>
      </c>
      <c r="L12" s="27"/>
      <c r="M12" s="15"/>
      <c r="N12" s="12"/>
    </row>
    <row r="13" spans="1:15" s="8" customFormat="1" ht="17" customHeight="1">
      <c r="A13" s="8" t="s">
        <v>14</v>
      </c>
      <c r="B13" s="29">
        <v>0.80200000000000005</v>
      </c>
      <c r="C13" s="29">
        <v>0.05</v>
      </c>
      <c r="D13" s="29"/>
      <c r="E13" s="29">
        <v>0.39200000000000002</v>
      </c>
      <c r="F13" s="29">
        <v>0.11</v>
      </c>
      <c r="G13" s="29"/>
      <c r="H13" s="29">
        <v>0.80293359999999991</v>
      </c>
      <c r="I13" s="29">
        <v>0.22531299999999999</v>
      </c>
      <c r="J13" s="31">
        <v>0.80204381786279966</v>
      </c>
      <c r="K13" s="29">
        <v>4.8812541924632302E-2</v>
      </c>
      <c r="L13" s="27"/>
      <c r="M13" s="15"/>
    </row>
    <row r="14" spans="1:15" s="8" customFormat="1" ht="17" customHeight="1">
      <c r="A14" s="8" t="s">
        <v>17</v>
      </c>
      <c r="B14" s="29">
        <v>0.93200000000000005</v>
      </c>
      <c r="C14" s="29">
        <v>0.16</v>
      </c>
      <c r="D14" s="29"/>
      <c r="E14" s="29">
        <v>0.41200000000000003</v>
      </c>
      <c r="F14" s="29">
        <v>0.03</v>
      </c>
      <c r="G14" s="29"/>
      <c r="H14" s="29">
        <v>0.84389959999999997</v>
      </c>
      <c r="I14" s="29">
        <v>6.144899999999999E-2</v>
      </c>
      <c r="J14" s="31">
        <v>0.85522399897352785</v>
      </c>
      <c r="K14" s="29">
        <v>5.7363893839337217E-2</v>
      </c>
      <c r="L14" s="27"/>
      <c r="M14" s="15"/>
    </row>
    <row r="15" spans="1:15" s="8" customFormat="1" ht="17" customHeight="1">
      <c r="A15" s="22">
        <v>70215</v>
      </c>
      <c r="B15" s="29">
        <v>0.79200000000000004</v>
      </c>
      <c r="C15" s="29">
        <v>0.03</v>
      </c>
      <c r="D15" s="29"/>
      <c r="E15" s="29">
        <v>0.45200000000000007</v>
      </c>
      <c r="F15" s="29">
        <v>0.02</v>
      </c>
      <c r="G15" s="29"/>
      <c r="H15" s="29">
        <v>0.92583160000000009</v>
      </c>
      <c r="I15" s="29">
        <v>4.0965999999999995E-2</v>
      </c>
      <c r="J15" s="31">
        <v>0.83871779744808661</v>
      </c>
      <c r="K15" s="29">
        <v>2.4203903084718186E-2</v>
      </c>
      <c r="L15" s="27"/>
      <c r="M15" s="15"/>
    </row>
    <row r="16" spans="1:15" s="8" customFormat="1" ht="5" customHeight="1">
      <c r="A16" s="7"/>
      <c r="B16" s="29"/>
      <c r="C16" s="29"/>
      <c r="D16" s="29"/>
      <c r="E16" s="29"/>
      <c r="F16" s="29"/>
      <c r="G16" s="29"/>
      <c r="H16" s="29"/>
      <c r="I16" s="29"/>
      <c r="J16" s="31"/>
      <c r="K16" s="29"/>
      <c r="L16" s="28"/>
      <c r="M16" s="15"/>
    </row>
    <row r="17" spans="1:13" s="8" customFormat="1" ht="17" customHeight="1">
      <c r="A17" s="23" t="s">
        <v>8</v>
      </c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28"/>
      <c r="M17" s="15"/>
    </row>
    <row r="18" spans="1:13" s="8" customFormat="1" ht="17" customHeight="1">
      <c r="A18" s="8" t="s">
        <v>9</v>
      </c>
      <c r="B18" s="29">
        <v>0.70199999999999996</v>
      </c>
      <c r="C18" s="29">
        <v>0.03</v>
      </c>
      <c r="D18" s="29"/>
      <c r="E18" s="29">
        <v>0.35199999999999998</v>
      </c>
      <c r="F18" s="29">
        <v>0.04</v>
      </c>
      <c r="G18" s="29"/>
      <c r="H18" s="29">
        <v>0.72100159999999991</v>
      </c>
      <c r="I18" s="29">
        <v>8.1931999999999991E-2</v>
      </c>
      <c r="J18" s="31">
        <v>0.70424639052463545</v>
      </c>
      <c r="K18" s="29">
        <v>2.8170924509097139E-2</v>
      </c>
      <c r="L18" s="27"/>
      <c r="M18" s="15"/>
    </row>
    <row r="19" spans="1:13" s="8" customFormat="1" ht="17" customHeight="1">
      <c r="A19" s="8" t="s">
        <v>10</v>
      </c>
      <c r="B19" s="29">
        <v>0.76200000000000001</v>
      </c>
      <c r="C19" s="29">
        <v>0.01</v>
      </c>
      <c r="D19" s="29"/>
      <c r="E19" s="29">
        <v>0.38200000000000001</v>
      </c>
      <c r="F19" s="29">
        <v>0.08</v>
      </c>
      <c r="G19" s="29"/>
      <c r="H19" s="29">
        <v>0.78245059999999989</v>
      </c>
      <c r="I19" s="29">
        <v>0.16386399999999998</v>
      </c>
      <c r="J19" s="31">
        <v>0.76207587951659539</v>
      </c>
      <c r="K19" s="29">
        <v>9.9814308546068084E-3</v>
      </c>
      <c r="L19" s="27"/>
      <c r="M19" s="15"/>
    </row>
    <row r="20" spans="1:13" s="8" customFormat="1" ht="17" customHeight="1">
      <c r="A20" s="8" t="s">
        <v>11</v>
      </c>
      <c r="B20" s="29">
        <v>0.83200000000000007</v>
      </c>
      <c r="C20" s="29">
        <v>0.1</v>
      </c>
      <c r="D20" s="29"/>
      <c r="E20" s="29">
        <v>0.33199999999999996</v>
      </c>
      <c r="F20" s="29">
        <v>7.0000000000000007E-2</v>
      </c>
      <c r="G20" s="29"/>
      <c r="H20" s="29">
        <v>0.68003559999999985</v>
      </c>
      <c r="I20" s="29">
        <v>0.14338100000000001</v>
      </c>
      <c r="J20" s="31">
        <v>0.78227035565144953</v>
      </c>
      <c r="K20" s="29">
        <v>8.2021621714841883E-2</v>
      </c>
      <c r="L20" s="27"/>
      <c r="M20" s="15"/>
    </row>
    <row r="21" spans="1:13" s="8" customFormat="1" ht="5" customHeight="1">
      <c r="B21" s="29"/>
      <c r="C21" s="29"/>
      <c r="D21" s="29"/>
      <c r="E21" s="29"/>
      <c r="F21" s="29"/>
      <c r="G21" s="29"/>
      <c r="H21" s="29"/>
      <c r="I21" s="29"/>
      <c r="J21" s="31"/>
      <c r="K21" s="29"/>
      <c r="L21" s="28"/>
      <c r="M21" s="15"/>
    </row>
    <row r="22" spans="1:13" s="8" customFormat="1" ht="19" customHeight="1">
      <c r="A22" s="17" t="s">
        <v>6</v>
      </c>
      <c r="B22" s="29"/>
      <c r="C22" s="29"/>
      <c r="D22" s="29"/>
      <c r="E22" s="29"/>
      <c r="F22" s="29"/>
      <c r="G22" s="29"/>
      <c r="H22" s="29"/>
      <c r="I22" s="29"/>
      <c r="J22" s="31"/>
      <c r="K22" s="29"/>
      <c r="L22" s="28"/>
      <c r="M22" s="15"/>
    </row>
    <row r="23" spans="1:13" s="8" customFormat="1" ht="17" customHeight="1">
      <c r="A23" s="8" t="s">
        <v>18</v>
      </c>
      <c r="B23" s="29">
        <v>1.1519999999999999</v>
      </c>
      <c r="C23" s="29">
        <v>0.04</v>
      </c>
      <c r="D23" s="29"/>
      <c r="E23" s="29">
        <v>0.502</v>
      </c>
      <c r="F23" s="29">
        <v>0.02</v>
      </c>
      <c r="G23" s="29"/>
      <c r="H23" s="29">
        <v>1.0282465999999999</v>
      </c>
      <c r="I23" s="29">
        <v>4.0965999999999995E-2</v>
      </c>
      <c r="J23" s="31">
        <v>1.0915995834994445</v>
      </c>
      <c r="K23" s="29">
        <v>2.8619692126342175E-2</v>
      </c>
      <c r="L23" s="28"/>
      <c r="M23" s="15"/>
    </row>
    <row r="24" spans="1:13" s="8" customFormat="1" ht="17" customHeight="1" thickBot="1">
      <c r="A24" s="38" t="s">
        <v>19</v>
      </c>
      <c r="B24" s="30">
        <v>0.77200000000000002</v>
      </c>
      <c r="C24" s="30">
        <v>7.0000000000000007E-2</v>
      </c>
      <c r="D24" s="30"/>
      <c r="E24" s="30">
        <v>0.39200000000000002</v>
      </c>
      <c r="F24" s="30">
        <v>0.08</v>
      </c>
      <c r="G24" s="30"/>
      <c r="H24" s="30">
        <v>0.80293359999999991</v>
      </c>
      <c r="I24" s="30">
        <v>0.16386399999999998</v>
      </c>
      <c r="J24" s="34">
        <v>0.77677379233338606</v>
      </c>
      <c r="K24" s="30">
        <v>6.4372456231021141E-2</v>
      </c>
      <c r="L24" s="27"/>
      <c r="M24" s="15"/>
    </row>
    <row r="25" spans="1:13" ht="5" customHeight="1" thickTop="1">
      <c r="C25"/>
      <c r="E25"/>
      <c r="F25"/>
    </row>
    <row r="26" spans="1:13" s="8" customFormat="1" ht="17" customHeight="1">
      <c r="A26" s="8" t="s">
        <v>1</v>
      </c>
      <c r="B26" s="10"/>
      <c r="C26" s="9"/>
      <c r="D26" s="10"/>
      <c r="E26" s="9"/>
      <c r="F26" s="9"/>
      <c r="G26" s="10"/>
      <c r="H26" s="9"/>
      <c r="I26" s="9"/>
      <c r="J26" s="9"/>
      <c r="K26" s="9"/>
    </row>
    <row r="27" spans="1:13" ht="20">
      <c r="A27" s="35" t="s">
        <v>24</v>
      </c>
      <c r="B27" s="2"/>
      <c r="C27" s="3"/>
      <c r="D27" s="2"/>
      <c r="E27" s="3"/>
      <c r="F27" s="3"/>
      <c r="G27" s="2"/>
      <c r="H27" s="2"/>
      <c r="I27" s="2"/>
      <c r="J27" s="3"/>
      <c r="K27" s="2"/>
      <c r="L27" s="2"/>
      <c r="M27" s="2"/>
    </row>
    <row r="28" spans="1:13" s="8" customFormat="1" ht="17" customHeight="1">
      <c r="A28" s="35" t="s">
        <v>30</v>
      </c>
      <c r="B28" s="10"/>
      <c r="C28" s="9"/>
      <c r="D28" s="10"/>
      <c r="E28" s="9"/>
      <c r="F28" s="9"/>
      <c r="G28" s="10"/>
      <c r="H28" s="9"/>
      <c r="I28" s="9"/>
      <c r="J28" s="9"/>
      <c r="K28" s="9"/>
    </row>
    <row r="29" spans="1:13" s="8" customFormat="1" ht="17" customHeight="1">
      <c r="A29" s="35" t="s">
        <v>26</v>
      </c>
      <c r="B29" s="5"/>
      <c r="C29" s="5"/>
      <c r="E29" s="5"/>
      <c r="F29" s="5"/>
      <c r="J29" s="5"/>
    </row>
    <row r="32" spans="1:13" s="8" customFormat="1" ht="17" customHeight="1">
      <c r="B32" s="13"/>
      <c r="C32" s="13"/>
      <c r="D32" s="13"/>
      <c r="E32" s="13"/>
      <c r="F32" s="13"/>
      <c r="G32" s="9"/>
      <c r="H32" s="13"/>
      <c r="I32" s="13"/>
      <c r="J32" s="36"/>
      <c r="K32" s="36"/>
      <c r="L32" s="27"/>
      <c r="M32" s="15"/>
    </row>
  </sheetData>
  <mergeCells count="4">
    <mergeCell ref="B2:C2"/>
    <mergeCell ref="H2:I2"/>
    <mergeCell ref="J2:K2"/>
    <mergeCell ref="E2:F2"/>
  </mergeCells>
  <phoneticPr fontId="18" type="noConversion"/>
  <pageMargins left="0.75" right="0.75" top="1" bottom="1" header="0.5" footer="0.5"/>
  <ignoredErrors>
    <ignoredError sqref="D10:D13 F9 C9:D9 F17 D19 C17:D17 D18 D20 D14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isotope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2021-12-05T15:03:19Z</dcterms:created>
  <dcterms:modified xsi:type="dcterms:W3CDTF">2023-07-30T22:12:26Z</dcterms:modified>
</cp:coreProperties>
</file>